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ophiahuang/Desktop/SquirrelGripper/sg_ws/TendonForces/"/>
    </mc:Choice>
  </mc:AlternateContent>
  <xr:revisionPtr revIDLastSave="0" documentId="13_ncr:1_{E569345B-A987-9A41-AFDE-24FF591FA700}" xr6:coauthVersionLast="47" xr6:coauthVersionMax="47" xr10:uidLastSave="{00000000-0000-0000-0000-000000000000}"/>
  <bookViews>
    <workbookView xWindow="1100" yWindow="900" windowWidth="28040" windowHeight="17180" activeTab="1" xr2:uid="{30F93E30-EA59-6C4A-9122-5084A2597978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" i="2" l="1"/>
  <c r="D4" i="2"/>
  <c r="D5" i="2"/>
  <c r="D6" i="2"/>
  <c r="D7" i="2"/>
  <c r="D8" i="2"/>
  <c r="D9" i="2"/>
  <c r="D10" i="2"/>
  <c r="D11" i="2"/>
  <c r="D12" i="2"/>
  <c r="C12" i="2"/>
  <c r="C11" i="2"/>
  <c r="C10" i="2"/>
  <c r="C9" i="2"/>
  <c r="C8" i="2"/>
  <c r="C7" i="2"/>
  <c r="C6" i="2"/>
  <c r="C5" i="2"/>
  <c r="C4" i="2"/>
  <c r="C3" i="2"/>
  <c r="D3" i="2" s="1"/>
  <c r="D2" i="2"/>
  <c r="C2" i="2"/>
</calcChain>
</file>

<file path=xl/sharedStrings.xml><?xml version="1.0" encoding="utf-8"?>
<sst xmlns="http://schemas.openxmlformats.org/spreadsheetml/2006/main" count="8" uniqueCount="8">
  <si>
    <t>Tension (N)</t>
  </si>
  <si>
    <t>Finger Radius (mm)</t>
  </si>
  <si>
    <t>Joint Softness (%)</t>
  </si>
  <si>
    <t>Joint stiffness %</t>
  </si>
  <si>
    <t>Link stiffness (MPa)</t>
  </si>
  <si>
    <t>Target stiffness (MPa)</t>
  </si>
  <si>
    <t>Infill percentage %</t>
  </si>
  <si>
    <t>Link infill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</si>
</sst>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1" fontId="0" fillId="0" borderId="0" xfId="0" applyNumberFormat="1"/>
    <xf numFmtId="9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Sheet2!$D$1</c:f>
              <c:strCache>
                <c:ptCount val="1"/>
                <c:pt idx="0">
                  <c:v>Infill percentage %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Sheet2!$C$2:$C$12</c:f>
              <c:numCache>
                <c:formatCode>0.00E+00</c:formatCode>
                <c:ptCount val="11"/>
                <c:pt idx="0">
                  <c:v>0.2</c:v>
                </c:pt>
                <c:pt idx="1">
                  <c:v>0.18</c:v>
                </c:pt>
                <c:pt idx="2">
                  <c:v>0.16</c:v>
                </c:pt>
                <c:pt idx="3">
                  <c:v>0.14000000000000001</c:v>
                </c:pt>
                <c:pt idx="4">
                  <c:v>0.12</c:v>
                </c:pt>
                <c:pt idx="5">
                  <c:v>0.1</c:v>
                </c:pt>
                <c:pt idx="6">
                  <c:v>0.08</c:v>
                </c:pt>
                <c:pt idx="7">
                  <c:v>0.06</c:v>
                </c:pt>
                <c:pt idx="8">
                  <c:v>0.04</c:v>
                </c:pt>
                <c:pt idx="9">
                  <c:v>0.02</c:v>
                </c:pt>
                <c:pt idx="10">
                  <c:v>0.01</c:v>
                </c:pt>
              </c:numCache>
            </c:numRef>
          </c:xVal>
          <c:yVal>
            <c:numRef>
              <c:f>Sheet2!$D$2:$D$12</c:f>
              <c:numCache>
                <c:formatCode>0.00E+00</c:formatCode>
                <c:ptCount val="11"/>
                <c:pt idx="0">
                  <c:v>20.471123410883045</c:v>
                </c:pt>
                <c:pt idx="1">
                  <c:v>19.883896125391971</c:v>
                </c:pt>
                <c:pt idx="2">
                  <c:v>19.247350482875287</c:v>
                </c:pt>
                <c:pt idx="3">
                  <c:v>18.55030607603819</c:v>
                </c:pt>
                <c:pt idx="4">
                  <c:v>17.776959847259469</c:v>
                </c:pt>
                <c:pt idx="5">
                  <c:v>16.903795073986142</c:v>
                </c:pt>
                <c:pt idx="6">
                  <c:v>15.893278632023916</c:v>
                </c:pt>
                <c:pt idx="7">
                  <c:v>14.679120450067753</c:v>
                </c:pt>
                <c:pt idx="8">
                  <c:v>13.123692318061517</c:v>
                </c:pt>
                <c:pt idx="9">
                  <c:v>10.836738224176855</c:v>
                </c:pt>
                <c:pt idx="10">
                  <c:v>8.9483121436575974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B69-F543-9F66-70EFB63FA3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35401920"/>
        <c:axId val="1335400128"/>
      </c:scatterChart>
      <c:valAx>
        <c:axId val="13354019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Target Stiffness (MPa)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5400128"/>
        <c:crosses val="autoZero"/>
        <c:crossBetween val="midCat"/>
      </c:valAx>
      <c:valAx>
        <c:axId val="1335400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Infill Percentage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54019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50800</xdr:rowOff>
    </xdr:from>
    <xdr:to>
      <xdr:col>11</xdr:col>
      <xdr:colOff>584200</xdr:colOff>
      <xdr:row>19</xdr:row>
      <xdr:rowOff>63500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92E071E-F1BC-7FCA-53DF-3377DBBFA6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0.8</cdr:x>
      <cdr:y>0.38889</cdr:y>
    </cdr:from>
    <cdr:to>
      <cdr:x>1</cdr:x>
      <cdr:y>0.72222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29D7089A-529E-35AC-A66D-2C47E01AAE4F}"/>
            </a:ext>
          </a:extLst>
        </cdr:cNvPr>
        <cdr:cNvSpPr txBox="1"/>
      </cdr:nvSpPr>
      <cdr:spPr>
        <a:xfrm xmlns:a="http://schemas.openxmlformats.org/drawingml/2006/main">
          <a:off x="4368800" y="1066800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US" sz="1100" kern="1200"/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FF96FD-B988-0945-BC2D-1DCD8203E956}">
  <dimension ref="A1:C16"/>
  <sheetViews>
    <sheetView workbookViewId="0">
      <selection activeCell="H22" sqref="H22"/>
    </sheetView>
  </sheetViews>
  <sheetFormatPr baseColWidth="10" defaultRowHeight="16" x14ac:dyDescent="0.2"/>
  <cols>
    <col min="1" max="1" width="13" customWidth="1"/>
    <col min="2" max="2" width="17.1640625" customWidth="1"/>
    <col min="3" max="3" width="18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3</v>
      </c>
      <c r="B2">
        <v>3</v>
      </c>
      <c r="C2">
        <v>1</v>
      </c>
    </row>
    <row r="3" spans="1:3" x14ac:dyDescent="0.2">
      <c r="A3">
        <v>3</v>
      </c>
      <c r="B3">
        <v>4</v>
      </c>
      <c r="C3">
        <v>0.2</v>
      </c>
    </row>
    <row r="4" spans="1:3" x14ac:dyDescent="0.2">
      <c r="A4">
        <v>3</v>
      </c>
      <c r="B4">
        <v>5</v>
      </c>
      <c r="C4">
        <v>0.05</v>
      </c>
    </row>
    <row r="5" spans="1:3" x14ac:dyDescent="0.2">
      <c r="A5">
        <v>5</v>
      </c>
      <c r="B5">
        <v>4</v>
      </c>
      <c r="C5">
        <v>0.4</v>
      </c>
    </row>
    <row r="6" spans="1:3" x14ac:dyDescent="0.2">
      <c r="A6">
        <v>5</v>
      </c>
      <c r="B6">
        <v>5</v>
      </c>
      <c r="C6">
        <v>0.1</v>
      </c>
    </row>
    <row r="7" spans="1:3" x14ac:dyDescent="0.2">
      <c r="A7">
        <v>8</v>
      </c>
      <c r="B7">
        <v>4</v>
      </c>
      <c r="C7">
        <v>0.8</v>
      </c>
    </row>
    <row r="8" spans="1:3" x14ac:dyDescent="0.2">
      <c r="A8">
        <v>8</v>
      </c>
      <c r="B8">
        <v>5</v>
      </c>
      <c r="C8">
        <v>0.2</v>
      </c>
    </row>
    <row r="9" spans="1:3" x14ac:dyDescent="0.2">
      <c r="A9">
        <v>8</v>
      </c>
      <c r="B9">
        <v>6</v>
      </c>
      <c r="C9">
        <v>0.1</v>
      </c>
    </row>
    <row r="10" spans="1:3" x14ac:dyDescent="0.2">
      <c r="A10">
        <v>10</v>
      </c>
      <c r="B10">
        <v>4</v>
      </c>
      <c r="C10">
        <v>1</v>
      </c>
    </row>
    <row r="11" spans="1:3" x14ac:dyDescent="0.2">
      <c r="A11">
        <v>10</v>
      </c>
      <c r="B11">
        <v>5</v>
      </c>
      <c r="C11">
        <v>2</v>
      </c>
    </row>
    <row r="12" spans="1:3" x14ac:dyDescent="0.2">
      <c r="A12">
        <v>10</v>
      </c>
      <c r="B12">
        <v>6</v>
      </c>
      <c r="C12">
        <v>0.1</v>
      </c>
    </row>
    <row r="13" spans="1:3" x14ac:dyDescent="0.2">
      <c r="A13">
        <v>10</v>
      </c>
      <c r="B13">
        <v>7</v>
      </c>
      <c r="C13">
        <v>0.05</v>
      </c>
    </row>
    <row r="14" spans="1:3" x14ac:dyDescent="0.2">
      <c r="A14">
        <v>15</v>
      </c>
      <c r="B14">
        <v>5</v>
      </c>
      <c r="C14">
        <v>0.7</v>
      </c>
    </row>
    <row r="15" spans="1:3" x14ac:dyDescent="0.2">
      <c r="A15">
        <v>15</v>
      </c>
      <c r="B15">
        <v>6</v>
      </c>
      <c r="C15">
        <v>0.2</v>
      </c>
    </row>
    <row r="16" spans="1:3" x14ac:dyDescent="0.2">
      <c r="A16">
        <v>15</v>
      </c>
      <c r="B16">
        <v>7</v>
      </c>
      <c r="C16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B9E7C2-BC79-244F-A852-0923218DA738}">
  <dimension ref="A1:D12"/>
  <sheetViews>
    <sheetView tabSelected="1" workbookViewId="0">
      <selection activeCell="H19" sqref="H19"/>
    </sheetView>
  </sheetViews>
  <sheetFormatPr baseColWidth="10" defaultRowHeight="16" x14ac:dyDescent="0.2"/>
  <cols>
    <col min="1" max="1" width="18.1640625" customWidth="1"/>
    <col min="2" max="2" width="17.6640625" customWidth="1"/>
    <col min="3" max="3" width="18.6640625" customWidth="1"/>
    <col min="4" max="4" width="20" customWidth="1"/>
  </cols>
  <sheetData>
    <row r="1" spans="1:4" x14ac:dyDescent="0.2">
      <c r="A1" t="s">
        <v>4</v>
      </c>
      <c r="B1" t="s">
        <v>3</v>
      </c>
      <c r="C1" t="s">
        <v>5</v>
      </c>
      <c r="D1" t="s">
        <v>6</v>
      </c>
    </row>
    <row r="2" spans="1:4" x14ac:dyDescent="0.2">
      <c r="A2" s="1">
        <v>20</v>
      </c>
      <c r="B2" s="2">
        <v>0.01</v>
      </c>
      <c r="C2" s="1">
        <f>A2*B2</f>
        <v>0.2</v>
      </c>
      <c r="D2" s="1">
        <f>(C2/62.33)^(1/3.62) * 100</f>
        <v>20.471123410883045</v>
      </c>
    </row>
    <row r="3" spans="1:4" x14ac:dyDescent="0.2">
      <c r="B3" s="3">
        <v>8.9999999999999993E-3</v>
      </c>
      <c r="C3" s="1">
        <f>A2*B3</f>
        <v>0.18</v>
      </c>
      <c r="D3" s="1">
        <f>(C3/62.33)^(1/3.62) * 100</f>
        <v>19.883896125391971</v>
      </c>
    </row>
    <row r="4" spans="1:4" x14ac:dyDescent="0.2">
      <c r="A4" t="s">
        <v>7</v>
      </c>
      <c r="B4" s="3">
        <v>8.0000000000000002E-3</v>
      </c>
      <c r="C4" s="1">
        <f>A2*B4</f>
        <v>0.16</v>
      </c>
      <c r="D4" s="1">
        <f t="shared" ref="D4:D12" si="0">(C4/62.33)^(1/3.62) * 100</f>
        <v>19.247350482875287</v>
      </c>
    </row>
    <row r="5" spans="1:4" x14ac:dyDescent="0.2">
      <c r="A5" s="1">
        <f>(A2/62.33)^(1/3.62)*100</f>
        <v>73.051285766747327</v>
      </c>
      <c r="B5" s="3">
        <v>7.0000000000000001E-3</v>
      </c>
      <c r="C5" s="1">
        <f>A2*B5</f>
        <v>0.14000000000000001</v>
      </c>
      <c r="D5" s="1">
        <f t="shared" si="0"/>
        <v>18.55030607603819</v>
      </c>
    </row>
    <row r="6" spans="1:4" x14ac:dyDescent="0.2">
      <c r="B6" s="3">
        <v>6.0000000000000001E-3</v>
      </c>
      <c r="C6" s="1">
        <f>A2*B6</f>
        <v>0.12</v>
      </c>
      <c r="D6" s="1">
        <f t="shared" si="0"/>
        <v>17.776959847259469</v>
      </c>
    </row>
    <row r="7" spans="1:4" x14ac:dyDescent="0.2">
      <c r="B7" s="3">
        <v>5.0000000000000001E-3</v>
      </c>
      <c r="C7" s="1">
        <f>A2*B7</f>
        <v>0.1</v>
      </c>
      <c r="D7" s="1">
        <f t="shared" si="0"/>
        <v>16.903795073986142</v>
      </c>
    </row>
    <row r="8" spans="1:4" x14ac:dyDescent="0.2">
      <c r="B8" s="3">
        <v>4.0000000000000001E-3</v>
      </c>
      <c r="C8" s="1">
        <f>A2*B8</f>
        <v>0.08</v>
      </c>
      <c r="D8" s="1">
        <f t="shared" si="0"/>
        <v>15.893278632023916</v>
      </c>
    </row>
    <row r="9" spans="1:4" x14ac:dyDescent="0.2">
      <c r="B9" s="3">
        <v>3.0000000000000001E-3</v>
      </c>
      <c r="C9" s="1">
        <f>A2*B9</f>
        <v>0.06</v>
      </c>
      <c r="D9" s="1">
        <f t="shared" si="0"/>
        <v>14.679120450067753</v>
      </c>
    </row>
    <row r="10" spans="1:4" x14ac:dyDescent="0.2">
      <c r="B10" s="3">
        <v>2E-3</v>
      </c>
      <c r="C10" s="1">
        <f>A2*B10</f>
        <v>0.04</v>
      </c>
      <c r="D10" s="1">
        <f t="shared" si="0"/>
        <v>13.123692318061517</v>
      </c>
    </row>
    <row r="11" spans="1:4" x14ac:dyDescent="0.2">
      <c r="B11" s="3">
        <v>1E-3</v>
      </c>
      <c r="C11" s="1">
        <f>A2*B11</f>
        <v>0.02</v>
      </c>
      <c r="D11" s="1">
        <f t="shared" si="0"/>
        <v>10.836738224176855</v>
      </c>
    </row>
    <row r="12" spans="1:4" x14ac:dyDescent="0.2">
      <c r="B12" s="3">
        <v>5.0000000000000001E-4</v>
      </c>
      <c r="C12" s="1">
        <f>A2*B12</f>
        <v>0.01</v>
      </c>
      <c r="D12" s="1">
        <f t="shared" si="0"/>
        <v>8.9483121436575974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Zhixi Huang</dc:creator>
  <cp:lastModifiedBy>Zhixi Huang</cp:lastModifiedBy>
  <dcterms:created xsi:type="dcterms:W3CDTF">2026-02-13T01:47:20Z</dcterms:created>
  <dcterms:modified xsi:type="dcterms:W3CDTF">2026-02-13T07:44:32Z</dcterms:modified>
</cp:coreProperties>
</file>